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discord-bot\public\"/>
    </mc:Choice>
  </mc:AlternateContent>
  <xr:revisionPtr revIDLastSave="0" documentId="13_ncr:1_{5AD129AF-1E3E-4C0B-B9BD-CD9DF10052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kte-Definition" sheetId="2" r:id="rId1"/>
    <sheet name="Jahres-Planung" sheetId="3" r:id="rId2"/>
    <sheet name="Belohnungen" sheetId="1" r:id="rId3"/>
    <sheet name="Punktebeispiel" sheetId="4" r:id="rId4"/>
  </sheets>
  <definedNames>
    <definedName name="_xlnm.Print_Area" localSheetId="2">Belohnungen!$A$1:$F$10</definedName>
    <definedName name="_xlnm.Print_Area" localSheetId="1">'Jahres-Planung'!$A$1:$G$17</definedName>
    <definedName name="_xlnm.Print_Area" localSheetId="3">Punktebeispiel!$A$1:$C$10</definedName>
    <definedName name="_xlnm.Print_Area" localSheetId="0">'Punkte-Definition'!$A$1:$F$15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C5" i="4"/>
  <c r="C8" i="4"/>
  <c r="C7" i="4"/>
  <c r="C6" i="4"/>
  <c r="C4" i="4"/>
  <c r="D4" i="3"/>
  <c r="E4" i="3"/>
  <c r="D14" i="3"/>
  <c r="E14" i="3" s="1"/>
  <c r="F14" i="3" s="1"/>
  <c r="G14" i="3" s="1"/>
  <c r="D13" i="3"/>
  <c r="E13" i="3" s="1"/>
  <c r="F13" i="3" s="1"/>
  <c r="G13" i="3" s="1"/>
  <c r="D10" i="3"/>
  <c r="E10" i="3" s="1"/>
  <c r="F4" i="2"/>
  <c r="E4" i="2"/>
  <c r="D8" i="1"/>
  <c r="D10" i="1"/>
  <c r="D9" i="1"/>
  <c r="D7" i="2"/>
  <c r="D4" i="2"/>
  <c r="E15" i="2" s="1"/>
  <c r="F15" i="2" s="1"/>
  <c r="C10" i="4" l="1"/>
  <c r="D7" i="3"/>
  <c r="E7" i="3" s="1"/>
  <c r="F7" i="3" s="1"/>
  <c r="E8" i="1"/>
  <c r="E9" i="1"/>
  <c r="F4" i="3"/>
  <c r="E10" i="1"/>
  <c r="F10" i="1" s="1"/>
  <c r="E10" i="2"/>
  <c r="F10" i="2" s="1"/>
  <c r="F10" i="3"/>
  <c r="E7" i="2"/>
  <c r="F7" i="2" s="1"/>
  <c r="E13" i="2"/>
  <c r="F13" i="2" s="1"/>
  <c r="E14" i="2"/>
  <c r="F14" i="2" s="1"/>
  <c r="F9" i="1"/>
  <c r="F8" i="1"/>
  <c r="G7" i="3" l="1"/>
  <c r="G17" i="3" s="1"/>
  <c r="F17" i="3"/>
  <c r="G10" i="3"/>
</calcChain>
</file>

<file path=xl/sharedStrings.xml><?xml version="1.0" encoding="utf-8"?>
<sst xmlns="http://schemas.openxmlformats.org/spreadsheetml/2006/main" count="103" uniqueCount="70">
  <si>
    <t>Belohnung</t>
  </si>
  <si>
    <t>Realwert (CHF)</t>
  </si>
  <si>
    <t>Ziel-Kostenanteil (%)</t>
  </si>
  <si>
    <t>Zielkosten (CHF)</t>
  </si>
  <si>
    <t>Rabattcode Vereins-Shop</t>
  </si>
  <si>
    <t>Vereins-Mitgliedschaft</t>
  </si>
  <si>
    <t>Ziel-Kostenanteil</t>
  </si>
  <si>
    <t>Formel</t>
  </si>
  <si>
    <t>Beschreibung</t>
  </si>
  <si>
    <t>Wie viel der Kosten für eine Belohung übernimmt der Verein?</t>
  </si>
  <si>
    <t>Punktewert</t>
  </si>
  <si>
    <t>Umrechnungskurs</t>
  </si>
  <si>
    <t>Punkte</t>
  </si>
  <si>
    <t>Punkte-pro-CHF</t>
  </si>
  <si>
    <t>Aufwandsentschädigung</t>
  </si>
  <si>
    <t>Arbeits-Stunden (h)</t>
  </si>
  <si>
    <t>Punktewert = Realwert * (Punkte-pro-CHF / Ziel-Kostenanteil)</t>
  </si>
  <si>
    <t>Wie viele Punkte sollte diese Belohnung mind. kosten?</t>
  </si>
  <si>
    <t>Wie viele Arbeits-Stunden ist diese Belohnung wert?</t>
  </si>
  <si>
    <t>Aufgaben pro Jahr</t>
  </si>
  <si>
    <t>Anzahl</t>
  </si>
  <si>
    <t>Events pro Jahr</t>
  </si>
  <si>
    <t>Spenden pro Jahr</t>
  </si>
  <si>
    <t>Umfragen</t>
  </si>
  <si>
    <t>Mitglieder-Rekrutierung</t>
  </si>
  <si>
    <t>Event-Teilnahme</t>
  </si>
  <si>
    <t>Umfragen-Teilnahme</t>
  </si>
  <si>
    <t>--</t>
  </si>
  <si>
    <t>Max. Punkte pro Jahr</t>
  </si>
  <si>
    <t>Stunden-pro-Aufgabe</t>
  </si>
  <si>
    <t>Teilnehmer-pro-Event</t>
  </si>
  <si>
    <t>CHF-pro-Spende</t>
  </si>
  <si>
    <t>Spende</t>
  </si>
  <si>
    <t>Spendenwert (CHF)</t>
  </si>
  <si>
    <t>Vereins-Einnahmen durch alle Spenden (CHF)</t>
  </si>
  <si>
    <t>Zielkosten = Realwert * Ziel-Kostenanteil</t>
  </si>
  <si>
    <t>Aufwand (h)</t>
  </si>
  <si>
    <t>Wie viel kostet diese Belohnung?</t>
  </si>
  <si>
    <t>Wie viel Prozent einer Belohnung übernimmt der Verein?</t>
  </si>
  <si>
    <t>Berechnung der Punkte-Werte für Belohnungen im Verein</t>
  </si>
  <si>
    <t>Berechnung der jährlichen Kosten durch das Punktesystem</t>
  </si>
  <si>
    <t>Definition der Punktevergabe für das Punktesystem</t>
  </si>
  <si>
    <t>Ziel-Kostenanteil (CHF)</t>
  </si>
  <si>
    <t>Aufgaben (z. B. Social Media, Events)</t>
  </si>
  <si>
    <t>CHF mit 50%
Vereins-Kostenanteil</t>
  </si>
  <si>
    <t>CHF-pro-Punkt
(Belohnungswert ohne Ziel-Kostenanteil)</t>
  </si>
  <si>
    <t>Belohnungswert mit
50% Vereins-Kostenanteil</t>
  </si>
  <si>
    <t>CHF-pro-Spendenpunkt
(Belohnungswert ohne Ziel-Kostenanteil)</t>
  </si>
  <si>
    <t>CHF-pro-Aufwandspunkt
(Belohnungswert ohne Ziel-Kostenanteil)</t>
  </si>
  <si>
    <t>CHF-pro-Aufwands-Stunde
(Belohnungswert ohne Ziel-Kostenanteil)</t>
  </si>
  <si>
    <t>Punkte-pro-h</t>
  </si>
  <si>
    <t>Stunden = Punktewert / Punkte-pro-h</t>
  </si>
  <si>
    <t>Vereins-Ausgaben für alle Aufgaben
(Belohnungswert ohne Ziel-Kostenanteil)</t>
  </si>
  <si>
    <t>Vereins-Ausgaben für alle Events
(Belohnungswert ohne Ziel-Kostenanteil)</t>
  </si>
  <si>
    <t>Gesamter Vereins-Umsatz</t>
  </si>
  <si>
    <t>Umsatz durch Punktesystem pro Jahr
(Belohnungswert ohne Ziel-Kostenanteil)</t>
  </si>
  <si>
    <t>Umsatz durch Punktesystem pro Jahr
(Belohnungswert mit 50% Vereins-Kostenanteil)</t>
  </si>
  <si>
    <t>Weitere Aktivitäten pro Jahr</t>
  </si>
  <si>
    <t>Teilnehmer-pro-Aktivität</t>
  </si>
  <si>
    <t>Vereins-Ausgaben für alle Aktivitäten
(Belohnungswert ohne Ziel-Kostenanteil)</t>
  </si>
  <si>
    <t>Punkte-pro-Event</t>
  </si>
  <si>
    <t>Punkte-pro-Aktivität</t>
  </si>
  <si>
    <t>Vereins-Merch</t>
  </si>
  <si>
    <t>Punktebeispiel pro Jahr (aktives Mitglied)</t>
  </si>
  <si>
    <t>Quelle</t>
  </si>
  <si>
    <t>Umfrage</t>
  </si>
  <si>
    <t>Mitglieder-Rekrutiertung</t>
  </si>
  <si>
    <t>Spenden (CHF)</t>
  </si>
  <si>
    <t>Aufgabe (h)</t>
  </si>
  <si>
    <t>Gesamt-Punktzahl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</si>
</sst>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3" borderId="1" xfId="0" applyFill="1" applyBorder="1"/>
    <xf numFmtId="0" fontId="1" fillId="0" borderId="1" xfId="0" applyFont="1" applyBorder="1"/>
    <xf numFmtId="0" fontId="0" fillId="0" borderId="1" xfId="0" quotePrefix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1" fillId="0" borderId="1" xfId="0" quotePrefix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Font="1" applyBorder="1" applyAlignment="1">
      <alignment horizontal="center" vertical="top"/>
    </xf>
    <xf numFmtId="164" fontId="2" fillId="0" borderId="1" xfId="0" applyNumberFormat="1" applyFon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0" fontId="1" fillId="0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164" fontId="5" fillId="0" borderId="1" xfId="0" applyNumberFormat="1" applyFont="1" applyFill="1" applyBorder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90C3-07D5-4BBB-BEAE-38E56B65E1B7}">
  <sheetPr>
    <pageSetUpPr fitToPage="1"/>
  </sheetPr>
  <dimension ref="A1:F15"/>
  <sheetViews>
    <sheetView tabSelected="1" zoomScaleNormal="100" workbookViewId="0">
      <selection sqref="A1:F1"/>
    </sheetView>
  </sheetViews>
  <sheetFormatPr baseColWidth="10" defaultRowHeight="15" x14ac:dyDescent="0.25"/>
  <cols>
    <col min="1" max="1" width="34" bestFit="1" customWidth="1"/>
    <col min="2" max="2" width="19.7109375" customWidth="1"/>
    <col min="3" max="3" width="8.42578125" customWidth="1"/>
    <col min="4" max="4" width="18.5703125" bestFit="1" customWidth="1"/>
    <col min="5" max="5" width="39.140625" customWidth="1"/>
    <col min="6" max="6" width="24.7109375" customWidth="1"/>
  </cols>
  <sheetData>
    <row r="1" spans="1:6" s="24" customFormat="1" ht="30" customHeight="1" x14ac:dyDescent="0.25">
      <c r="A1" s="27" t="s">
        <v>41</v>
      </c>
      <c r="B1" s="27"/>
      <c r="C1" s="27"/>
      <c r="D1" s="27"/>
      <c r="E1" s="27"/>
      <c r="F1" s="27"/>
    </row>
    <row r="2" spans="1:6" x14ac:dyDescent="0.25">
      <c r="A2" s="31"/>
      <c r="B2" s="32"/>
      <c r="C2" s="32"/>
      <c r="D2" s="32"/>
      <c r="E2" s="32"/>
      <c r="F2" s="33"/>
    </row>
    <row r="3" spans="1:6" s="2" customFormat="1" ht="30" x14ac:dyDescent="0.25">
      <c r="A3" s="25"/>
      <c r="B3" s="13" t="s">
        <v>1</v>
      </c>
      <c r="C3" s="13" t="s">
        <v>12</v>
      </c>
      <c r="D3" s="13" t="s">
        <v>13</v>
      </c>
      <c r="E3" s="13" t="s">
        <v>45</v>
      </c>
      <c r="F3" s="13" t="s">
        <v>46</v>
      </c>
    </row>
    <row r="4" spans="1:6" x14ac:dyDescent="0.25">
      <c r="A4" s="22" t="s">
        <v>11</v>
      </c>
      <c r="B4" s="18">
        <v>1</v>
      </c>
      <c r="C4" s="4">
        <v>15</v>
      </c>
      <c r="D4" s="9">
        <f>C4/B4</f>
        <v>15</v>
      </c>
      <c r="E4" s="19">
        <f>C4/D4</f>
        <v>1</v>
      </c>
      <c r="F4" s="19">
        <f>E4*0.5</f>
        <v>0.5</v>
      </c>
    </row>
    <row r="5" spans="1:6" ht="30" customHeight="1" x14ac:dyDescent="0.25">
      <c r="A5" s="28"/>
      <c r="B5" s="29"/>
      <c r="C5" s="29"/>
      <c r="D5" s="29"/>
      <c r="E5" s="29"/>
      <c r="F5" s="30"/>
    </row>
    <row r="6" spans="1:6" s="2" customFormat="1" ht="30" x14ac:dyDescent="0.25">
      <c r="A6" s="25"/>
      <c r="B6" s="13" t="s">
        <v>33</v>
      </c>
      <c r="C6" s="13" t="s">
        <v>12</v>
      </c>
      <c r="D6" s="13" t="s">
        <v>13</v>
      </c>
      <c r="E6" s="13" t="s">
        <v>47</v>
      </c>
      <c r="F6" s="13" t="s">
        <v>44</v>
      </c>
    </row>
    <row r="7" spans="1:6" x14ac:dyDescent="0.25">
      <c r="A7" s="22" t="s">
        <v>32</v>
      </c>
      <c r="B7" s="18">
        <v>1</v>
      </c>
      <c r="C7" s="4">
        <v>5</v>
      </c>
      <c r="D7" s="12">
        <f>C7/B7</f>
        <v>5</v>
      </c>
      <c r="E7" s="19">
        <f>D7/D4</f>
        <v>0.33333333333333331</v>
      </c>
      <c r="F7" s="19">
        <f>E7*0.5</f>
        <v>0.16666666666666666</v>
      </c>
    </row>
    <row r="8" spans="1:6" ht="30" customHeight="1" x14ac:dyDescent="0.25">
      <c r="A8" s="28"/>
      <c r="B8" s="29"/>
      <c r="C8" s="29"/>
      <c r="D8" s="29"/>
      <c r="E8" s="29"/>
      <c r="F8" s="30"/>
    </row>
    <row r="9" spans="1:6" s="2" customFormat="1" ht="30" x14ac:dyDescent="0.25">
      <c r="A9" s="26" t="s">
        <v>14</v>
      </c>
      <c r="B9" s="13" t="s">
        <v>15</v>
      </c>
      <c r="C9" s="13" t="s">
        <v>12</v>
      </c>
      <c r="D9" s="13" t="s">
        <v>50</v>
      </c>
      <c r="E9" s="13" t="s">
        <v>49</v>
      </c>
      <c r="F9" s="13" t="s">
        <v>44</v>
      </c>
    </row>
    <row r="10" spans="1:6" x14ac:dyDescent="0.25">
      <c r="A10" s="15" t="s">
        <v>43</v>
      </c>
      <c r="B10" s="4">
        <v>1</v>
      </c>
      <c r="C10" s="4">
        <v>30</v>
      </c>
      <c r="D10" s="9">
        <f>C10/B10</f>
        <v>30</v>
      </c>
      <c r="E10" s="19">
        <f>D10/D4</f>
        <v>2</v>
      </c>
      <c r="F10" s="19">
        <f>E10*0.5</f>
        <v>1</v>
      </c>
    </row>
    <row r="11" spans="1:6" ht="30" customHeight="1" x14ac:dyDescent="0.25">
      <c r="A11" s="28"/>
      <c r="B11" s="29"/>
      <c r="C11" s="29"/>
      <c r="D11" s="29"/>
      <c r="E11" s="29"/>
      <c r="F11" s="30"/>
    </row>
    <row r="12" spans="1:6" ht="30" x14ac:dyDescent="0.25">
      <c r="A12" s="26" t="s">
        <v>14</v>
      </c>
      <c r="B12" s="8"/>
      <c r="C12" s="13" t="s">
        <v>12</v>
      </c>
      <c r="D12" s="21"/>
      <c r="E12" s="13" t="s">
        <v>48</v>
      </c>
      <c r="F12" s="13" t="s">
        <v>44</v>
      </c>
    </row>
    <row r="13" spans="1:6" x14ac:dyDescent="0.25">
      <c r="A13" s="15" t="s">
        <v>25</v>
      </c>
      <c r="B13" s="10" t="s">
        <v>27</v>
      </c>
      <c r="C13" s="4">
        <v>10</v>
      </c>
      <c r="D13" s="10" t="s">
        <v>27</v>
      </c>
      <c r="E13" s="19">
        <f>C13/D4</f>
        <v>0.66666666666666663</v>
      </c>
      <c r="F13" s="19">
        <f>E13*0.5</f>
        <v>0.33333333333333331</v>
      </c>
    </row>
    <row r="14" spans="1:6" x14ac:dyDescent="0.25">
      <c r="A14" s="15" t="s">
        <v>26</v>
      </c>
      <c r="B14" s="10" t="s">
        <v>27</v>
      </c>
      <c r="C14" s="4">
        <v>10</v>
      </c>
      <c r="D14" s="10" t="s">
        <v>27</v>
      </c>
      <c r="E14" s="19">
        <f>C14/D4</f>
        <v>0.66666666666666663</v>
      </c>
      <c r="F14" s="19">
        <f>E14*0.5</f>
        <v>0.33333333333333331</v>
      </c>
    </row>
    <row r="15" spans="1:6" x14ac:dyDescent="0.25">
      <c r="A15" s="15" t="s">
        <v>24</v>
      </c>
      <c r="B15" s="10" t="s">
        <v>27</v>
      </c>
      <c r="C15" s="4">
        <v>150</v>
      </c>
      <c r="D15" s="10" t="s">
        <v>27</v>
      </c>
      <c r="E15" s="19">
        <f>C15/D4</f>
        <v>10</v>
      </c>
      <c r="F15" s="19">
        <f>E15*0.5</f>
        <v>5</v>
      </c>
    </row>
  </sheetData>
  <mergeCells count="5">
    <mergeCell ref="A1:F1"/>
    <mergeCell ref="A8:F8"/>
    <mergeCell ref="A5:F5"/>
    <mergeCell ref="A2:F2"/>
    <mergeCell ref="A11:F11"/>
  </mergeCells>
  <pageMargins left="0.7" right="0.7" top="0.78740157499999996" bottom="0.78740157499999996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C323-CF1B-48C5-8BEB-FD0F97A3DD1F}">
  <sheetPr>
    <pageSetUpPr fitToPage="1"/>
  </sheetPr>
  <dimension ref="A1:G17"/>
  <sheetViews>
    <sheetView zoomScaleNormal="100" workbookViewId="0">
      <selection sqref="A1:G1"/>
    </sheetView>
  </sheetViews>
  <sheetFormatPr baseColWidth="10" defaultRowHeight="15" x14ac:dyDescent="0.25"/>
  <cols>
    <col min="1" max="1" width="26.5703125" bestFit="1" customWidth="1"/>
    <col min="2" max="2" width="7.5703125" customWidth="1"/>
    <col min="3" max="3" width="23.5703125" bestFit="1" customWidth="1"/>
    <col min="4" max="4" width="21" customWidth="1"/>
    <col min="5" max="5" width="21.28515625" customWidth="1"/>
    <col min="6" max="6" width="39.5703125" customWidth="1"/>
    <col min="7" max="7" width="44.5703125" bestFit="1" customWidth="1"/>
  </cols>
  <sheetData>
    <row r="1" spans="1:7" s="24" customFormat="1" ht="30" customHeight="1" x14ac:dyDescent="0.25">
      <c r="A1" s="44" t="s">
        <v>40</v>
      </c>
      <c r="B1" s="45"/>
      <c r="C1" s="45"/>
      <c r="D1" s="45"/>
      <c r="E1" s="45"/>
      <c r="F1" s="45"/>
      <c r="G1" s="46"/>
    </row>
    <row r="2" spans="1:7" x14ac:dyDescent="0.25">
      <c r="A2" s="31"/>
      <c r="B2" s="32"/>
      <c r="C2" s="32"/>
      <c r="D2" s="32"/>
      <c r="E2" s="32"/>
      <c r="F2" s="32"/>
      <c r="G2" s="33"/>
    </row>
    <row r="3" spans="1:7" ht="30" customHeight="1" x14ac:dyDescent="0.25">
      <c r="A3" s="11"/>
      <c r="B3" s="14" t="s">
        <v>20</v>
      </c>
      <c r="C3" s="14" t="s">
        <v>31</v>
      </c>
      <c r="D3" s="14" t="s">
        <v>13</v>
      </c>
      <c r="E3" s="14" t="s">
        <v>28</v>
      </c>
      <c r="F3" s="40" t="s">
        <v>34</v>
      </c>
      <c r="G3" s="41"/>
    </row>
    <row r="4" spans="1:7" x14ac:dyDescent="0.25">
      <c r="A4" s="22" t="s">
        <v>22</v>
      </c>
      <c r="B4" s="4">
        <v>5</v>
      </c>
      <c r="C4" s="4">
        <v>50</v>
      </c>
      <c r="D4" s="20">
        <f>'Punkte-Definition'!C7</f>
        <v>5</v>
      </c>
      <c r="E4" s="9">
        <f>B4*D4*C4</f>
        <v>1250</v>
      </c>
      <c r="F4" s="42">
        <f>E4/'Punkte-Definition'!D4</f>
        <v>83.333333333333329</v>
      </c>
      <c r="G4" s="43"/>
    </row>
    <row r="5" spans="1:7" ht="30" customHeight="1" x14ac:dyDescent="0.25">
      <c r="A5" s="31"/>
      <c r="B5" s="32"/>
      <c r="C5" s="32"/>
      <c r="D5" s="32"/>
      <c r="E5" s="32"/>
      <c r="F5" s="32"/>
      <c r="G5" s="33"/>
    </row>
    <row r="6" spans="1:7" ht="30" customHeight="1" x14ac:dyDescent="0.25">
      <c r="A6" s="11"/>
      <c r="B6" s="14" t="s">
        <v>20</v>
      </c>
      <c r="C6" s="14" t="s">
        <v>29</v>
      </c>
      <c r="D6" s="14" t="s">
        <v>50</v>
      </c>
      <c r="E6" s="14" t="s">
        <v>28</v>
      </c>
      <c r="F6" s="13" t="s">
        <v>52</v>
      </c>
      <c r="G6" s="13" t="s">
        <v>46</v>
      </c>
    </row>
    <row r="7" spans="1:7" x14ac:dyDescent="0.25">
      <c r="A7" s="22" t="s">
        <v>19</v>
      </c>
      <c r="B7" s="4">
        <v>30</v>
      </c>
      <c r="C7" s="4">
        <v>3</v>
      </c>
      <c r="D7" s="20">
        <f>'Punkte-Definition'!D10</f>
        <v>30</v>
      </c>
      <c r="E7" s="9">
        <f>B7*D7*C7</f>
        <v>2700</v>
      </c>
      <c r="F7" s="17">
        <f>E7/'Punkte-Definition'!D4*-1</f>
        <v>-180</v>
      </c>
      <c r="G7" s="17">
        <f>F7*0.5</f>
        <v>-90</v>
      </c>
    </row>
    <row r="8" spans="1:7" ht="30" customHeight="1" x14ac:dyDescent="0.25">
      <c r="A8" s="37"/>
      <c r="B8" s="38"/>
      <c r="C8" s="38"/>
      <c r="D8" s="38"/>
      <c r="E8" s="38"/>
      <c r="F8" s="38"/>
      <c r="G8" s="39"/>
    </row>
    <row r="9" spans="1:7" ht="30" x14ac:dyDescent="0.25">
      <c r="A9" s="11"/>
      <c r="B9" s="14" t="s">
        <v>20</v>
      </c>
      <c r="C9" s="14" t="s">
        <v>30</v>
      </c>
      <c r="D9" s="14" t="s">
        <v>60</v>
      </c>
      <c r="E9" s="14" t="s">
        <v>28</v>
      </c>
      <c r="F9" s="13" t="s">
        <v>53</v>
      </c>
      <c r="G9" s="13" t="s">
        <v>46</v>
      </c>
    </row>
    <row r="10" spans="1:7" x14ac:dyDescent="0.25">
      <c r="A10" s="22" t="s">
        <v>21</v>
      </c>
      <c r="B10" s="4">
        <v>8</v>
      </c>
      <c r="C10" s="4">
        <v>15</v>
      </c>
      <c r="D10" s="20">
        <f>'Punkte-Definition'!C13</f>
        <v>10</v>
      </c>
      <c r="E10" s="9">
        <f>B10*D10*C10</f>
        <v>1200</v>
      </c>
      <c r="F10" s="17">
        <f>E10/'Punkte-Definition'!D4*-1</f>
        <v>-80</v>
      </c>
      <c r="G10" s="17">
        <f>F10*0.5</f>
        <v>-40</v>
      </c>
    </row>
    <row r="11" spans="1:7" ht="30" customHeight="1" x14ac:dyDescent="0.25">
      <c r="A11" s="37"/>
      <c r="B11" s="38"/>
      <c r="C11" s="38"/>
      <c r="D11" s="38"/>
      <c r="E11" s="38"/>
      <c r="F11" s="38"/>
      <c r="G11" s="39"/>
    </row>
    <row r="12" spans="1:7" ht="30" x14ac:dyDescent="0.25">
      <c r="A12" s="22" t="s">
        <v>57</v>
      </c>
      <c r="B12" s="14" t="s">
        <v>20</v>
      </c>
      <c r="C12" s="14" t="s">
        <v>58</v>
      </c>
      <c r="D12" s="14" t="s">
        <v>61</v>
      </c>
      <c r="E12" s="14" t="s">
        <v>28</v>
      </c>
      <c r="F12" s="13" t="s">
        <v>59</v>
      </c>
      <c r="G12" s="13" t="s">
        <v>46</v>
      </c>
    </row>
    <row r="13" spans="1:7" x14ac:dyDescent="0.25">
      <c r="A13" s="11" t="s">
        <v>23</v>
      </c>
      <c r="B13" s="4">
        <v>2</v>
      </c>
      <c r="C13" s="4">
        <v>15</v>
      </c>
      <c r="D13" s="20">
        <f>'Punkte-Definition'!C14</f>
        <v>10</v>
      </c>
      <c r="E13" s="9">
        <f>B13*D13*C13</f>
        <v>300</v>
      </c>
      <c r="F13" s="17">
        <f>E13/'Punkte-Definition'!D4*-1</f>
        <v>-20</v>
      </c>
      <c r="G13" s="17">
        <f>F13*0.5</f>
        <v>-10</v>
      </c>
    </row>
    <row r="14" spans="1:7" x14ac:dyDescent="0.25">
      <c r="A14" s="11" t="s">
        <v>24</v>
      </c>
      <c r="B14" s="4">
        <v>1</v>
      </c>
      <c r="C14" s="4">
        <v>2</v>
      </c>
      <c r="D14" s="20">
        <f>'Punkte-Definition'!C15</f>
        <v>150</v>
      </c>
      <c r="E14" s="9">
        <f>B14*D14*C14</f>
        <v>300</v>
      </c>
      <c r="F14" s="17">
        <f>E14/'Punkte-Definition'!D4*-1</f>
        <v>-20</v>
      </c>
      <c r="G14" s="17">
        <f>F14*0.5</f>
        <v>-10</v>
      </c>
    </row>
    <row r="15" spans="1:7" ht="30" customHeight="1" x14ac:dyDescent="0.25">
      <c r="A15" s="37"/>
      <c r="B15" s="38"/>
      <c r="C15" s="38"/>
      <c r="D15" s="38"/>
      <c r="E15" s="38"/>
      <c r="F15" s="38"/>
      <c r="G15" s="39"/>
    </row>
    <row r="16" spans="1:7" ht="30" customHeight="1" x14ac:dyDescent="0.25">
      <c r="A16" s="34"/>
      <c r="B16" s="35"/>
      <c r="C16" s="35"/>
      <c r="D16" s="35"/>
      <c r="E16" s="36"/>
      <c r="F16" s="13" t="s">
        <v>55</v>
      </c>
      <c r="G16" s="13" t="s">
        <v>56</v>
      </c>
    </row>
    <row r="17" spans="1:7" x14ac:dyDescent="0.25">
      <c r="A17" s="34" t="s">
        <v>54</v>
      </c>
      <c r="B17" s="35"/>
      <c r="C17" s="35"/>
      <c r="D17" s="35"/>
      <c r="E17" s="36"/>
      <c r="F17" s="23">
        <f>SUM(F6:F14,F4)</f>
        <v>-216.66666666666669</v>
      </c>
      <c r="G17" s="23">
        <f>SUM(G6:G14,F4)</f>
        <v>-66.666666666666671</v>
      </c>
    </row>
  </sheetData>
  <mergeCells count="10">
    <mergeCell ref="A17:E17"/>
    <mergeCell ref="A11:G11"/>
    <mergeCell ref="F3:G3"/>
    <mergeCell ref="F4:G4"/>
    <mergeCell ref="A1:G1"/>
    <mergeCell ref="A16:E16"/>
    <mergeCell ref="A2:G2"/>
    <mergeCell ref="A8:G8"/>
    <mergeCell ref="A15:G15"/>
    <mergeCell ref="A5:G5"/>
  </mergeCells>
  <conditionalFormatting sqref="F17:G17">
    <cfRule type="expression" dxfId="1" priority="1">
      <formula>$F$17&lt;0</formula>
    </cfRule>
    <cfRule type="expression" dxfId="0" priority="2">
      <formula>$F$17&gt;0</formula>
    </cfRule>
  </conditionalFormatting>
  <pageMargins left="0.7" right="0.7" top="0.78740157499999996" bottom="0.78740157499999996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"/>
  <sheetViews>
    <sheetView zoomScaleNormal="100" workbookViewId="0">
      <selection sqref="A1:F1"/>
    </sheetView>
  </sheetViews>
  <sheetFormatPr baseColWidth="10" defaultColWidth="9.140625" defaultRowHeight="15" x14ac:dyDescent="0.25"/>
  <cols>
    <col min="1" max="1" width="23.7109375" bestFit="1" customWidth="1"/>
    <col min="2" max="2" width="20.42578125" customWidth="1"/>
    <col min="3" max="3" width="32.7109375" customWidth="1"/>
    <col min="4" max="4" width="38" bestFit="1" customWidth="1"/>
    <col min="5" max="5" width="56.85546875" bestFit="1" customWidth="1"/>
    <col min="6" max="6" width="36" customWidth="1"/>
    <col min="7" max="7" width="8.140625" customWidth="1"/>
  </cols>
  <sheetData>
    <row r="1" spans="1:11" s="24" customFormat="1" ht="30" customHeight="1" x14ac:dyDescent="0.25">
      <c r="A1" s="27" t="s">
        <v>39</v>
      </c>
      <c r="B1" s="27"/>
      <c r="C1" s="27"/>
      <c r="D1" s="27"/>
      <c r="E1" s="27"/>
      <c r="F1" s="27"/>
    </row>
    <row r="2" spans="1:11" x14ac:dyDescent="0.25">
      <c r="A2" s="47"/>
      <c r="B2" s="47"/>
      <c r="C2" s="47"/>
      <c r="D2" s="47"/>
      <c r="E2" s="47"/>
      <c r="F2" s="47"/>
    </row>
    <row r="3" spans="1:11" ht="30" customHeight="1" x14ac:dyDescent="0.25">
      <c r="A3" s="15"/>
      <c r="B3" s="14" t="s">
        <v>1</v>
      </c>
      <c r="C3" s="14" t="s">
        <v>6</v>
      </c>
      <c r="D3" s="14" t="s">
        <v>3</v>
      </c>
      <c r="E3" s="14" t="s">
        <v>10</v>
      </c>
      <c r="F3" s="14" t="s">
        <v>36</v>
      </c>
    </row>
    <row r="4" spans="1:11" s="2" customFormat="1" ht="30" x14ac:dyDescent="0.25">
      <c r="A4" s="22" t="s">
        <v>8</v>
      </c>
      <c r="B4" s="5" t="s">
        <v>37</v>
      </c>
      <c r="C4" s="5" t="s">
        <v>38</v>
      </c>
      <c r="D4" s="6" t="s">
        <v>9</v>
      </c>
      <c r="E4" s="5" t="s">
        <v>17</v>
      </c>
      <c r="F4" s="6" t="s">
        <v>18</v>
      </c>
    </row>
    <row r="5" spans="1:11" x14ac:dyDescent="0.25">
      <c r="A5" s="22" t="s">
        <v>7</v>
      </c>
      <c r="B5" s="16" t="s">
        <v>27</v>
      </c>
      <c r="C5" s="16" t="s">
        <v>27</v>
      </c>
      <c r="D5" s="7" t="s">
        <v>35</v>
      </c>
      <c r="E5" s="7" t="s">
        <v>16</v>
      </c>
      <c r="F5" s="7" t="s">
        <v>51</v>
      </c>
    </row>
    <row r="6" spans="1:11" ht="30" customHeight="1" x14ac:dyDescent="0.25">
      <c r="A6" s="48"/>
      <c r="B6" s="48"/>
      <c r="C6" s="48"/>
      <c r="D6" s="48"/>
      <c r="E6" s="48"/>
      <c r="F6" s="48"/>
    </row>
    <row r="7" spans="1:11" ht="30" customHeight="1" x14ac:dyDescent="0.25">
      <c r="A7" s="22" t="s">
        <v>0</v>
      </c>
      <c r="B7" s="14" t="s">
        <v>1</v>
      </c>
      <c r="C7" s="14" t="s">
        <v>2</v>
      </c>
      <c r="D7" s="14" t="s">
        <v>42</v>
      </c>
      <c r="E7" s="14" t="s">
        <v>10</v>
      </c>
      <c r="F7" s="14" t="s">
        <v>36</v>
      </c>
    </row>
    <row r="8" spans="1:11" x14ac:dyDescent="0.25">
      <c r="A8" s="15" t="s">
        <v>4</v>
      </c>
      <c r="B8" s="18">
        <v>5</v>
      </c>
      <c r="C8" s="4">
        <v>50</v>
      </c>
      <c r="D8" s="19">
        <f>B8*C8*0.01</f>
        <v>2.5</v>
      </c>
      <c r="E8" s="9">
        <f>B8*('Punkte-Definition'!D4/(C8*0.01))</f>
        <v>150</v>
      </c>
      <c r="F8" s="9">
        <f>E8/'Punkte-Definition'!D10</f>
        <v>5</v>
      </c>
    </row>
    <row r="9" spans="1:11" x14ac:dyDescent="0.25">
      <c r="A9" s="15" t="s">
        <v>62</v>
      </c>
      <c r="B9" s="18">
        <v>20</v>
      </c>
      <c r="C9" s="4">
        <v>50</v>
      </c>
      <c r="D9" s="19">
        <f>B9*C9*0.01</f>
        <v>10</v>
      </c>
      <c r="E9" s="9">
        <f>B9*('Punkte-Definition'!D4/(C9*0.01))</f>
        <v>600</v>
      </c>
      <c r="F9" s="9">
        <f>E9/'Punkte-Definition'!D10</f>
        <v>20</v>
      </c>
    </row>
    <row r="10" spans="1:11" x14ac:dyDescent="0.25">
      <c r="A10" s="15" t="s">
        <v>5</v>
      </c>
      <c r="B10" s="18">
        <v>50</v>
      </c>
      <c r="C10" s="4">
        <v>50</v>
      </c>
      <c r="D10" s="19">
        <f>B10*C10*0.01</f>
        <v>25</v>
      </c>
      <c r="E10" s="9">
        <f>B10*('Punkte-Definition'!D4/(C10*0.01))</f>
        <v>1500</v>
      </c>
      <c r="F10" s="9">
        <f>E10/'Punkte-Definition'!D10</f>
        <v>50</v>
      </c>
    </row>
    <row r="11" spans="1:11" x14ac:dyDescent="0.25">
      <c r="I11" s="1"/>
      <c r="J11" s="1"/>
      <c r="K11" s="1"/>
    </row>
    <row r="12" spans="1:11" x14ac:dyDescent="0.25">
      <c r="I12" s="1"/>
      <c r="J12" s="1"/>
      <c r="K12" s="1"/>
    </row>
    <row r="14" spans="1:11" ht="15" customHeight="1" x14ac:dyDescent="0.25"/>
  </sheetData>
  <mergeCells count="3">
    <mergeCell ref="A1:F1"/>
    <mergeCell ref="A2:F2"/>
    <mergeCell ref="A6:F6"/>
  </mergeCells>
  <pageMargins left="0.7" right="0.7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C3B6-E1C4-49EF-ACAC-4382E408EBB8}">
  <dimension ref="A1:C10"/>
  <sheetViews>
    <sheetView workbookViewId="0">
      <selection sqref="A1:C1"/>
    </sheetView>
  </sheetViews>
  <sheetFormatPr baseColWidth="10" defaultRowHeight="15" x14ac:dyDescent="0.25"/>
  <cols>
    <col min="1" max="1" width="33.28515625" customWidth="1"/>
    <col min="2" max="2" width="8.140625" customWidth="1"/>
    <col min="3" max="3" width="8.7109375" customWidth="1"/>
  </cols>
  <sheetData>
    <row r="1" spans="1:3" ht="30" customHeight="1" x14ac:dyDescent="0.25">
      <c r="A1" s="44" t="s">
        <v>63</v>
      </c>
      <c r="B1" s="45"/>
      <c r="C1" s="46"/>
    </row>
    <row r="2" spans="1:3" x14ac:dyDescent="0.25">
      <c r="A2" s="31"/>
      <c r="B2" s="32"/>
      <c r="C2" s="33"/>
    </row>
    <row r="3" spans="1:3" ht="30" customHeight="1" x14ac:dyDescent="0.25">
      <c r="A3" s="22" t="s">
        <v>64</v>
      </c>
      <c r="B3" s="14" t="s">
        <v>20</v>
      </c>
      <c r="C3" s="14" t="s">
        <v>12</v>
      </c>
    </row>
    <row r="4" spans="1:3" x14ac:dyDescent="0.25">
      <c r="A4" s="3" t="s">
        <v>67</v>
      </c>
      <c r="B4" s="4">
        <v>30</v>
      </c>
      <c r="C4" s="9">
        <f>B4*'Punkte-Definition'!D7</f>
        <v>150</v>
      </c>
    </row>
    <row r="5" spans="1:3" x14ac:dyDescent="0.25">
      <c r="A5" s="3" t="s">
        <v>68</v>
      </c>
      <c r="B5" s="4">
        <v>3</v>
      </c>
      <c r="C5" s="9">
        <f>B5*'Punkte-Definition'!D10</f>
        <v>90</v>
      </c>
    </row>
    <row r="6" spans="1:3" x14ac:dyDescent="0.25">
      <c r="A6" s="3" t="s">
        <v>25</v>
      </c>
      <c r="B6" s="4">
        <v>4</v>
      </c>
      <c r="C6" s="9">
        <f>B6*'Punkte-Definition'!C13</f>
        <v>40</v>
      </c>
    </row>
    <row r="7" spans="1:3" x14ac:dyDescent="0.25">
      <c r="A7" s="3" t="s">
        <v>65</v>
      </c>
      <c r="B7" s="4">
        <v>1</v>
      </c>
      <c r="C7" s="9">
        <f>B7*'Punkte-Definition'!C14</f>
        <v>10</v>
      </c>
    </row>
    <row r="8" spans="1:3" x14ac:dyDescent="0.25">
      <c r="A8" s="3" t="s">
        <v>66</v>
      </c>
      <c r="B8" s="4">
        <v>1</v>
      </c>
      <c r="C8" s="9">
        <f>B8*'Punkte-Definition'!C15</f>
        <v>150</v>
      </c>
    </row>
    <row r="9" spans="1:3" x14ac:dyDescent="0.25">
      <c r="A9" s="31"/>
      <c r="B9" s="32"/>
      <c r="C9" s="33"/>
    </row>
    <row r="10" spans="1:3" x14ac:dyDescent="0.25">
      <c r="A10" s="34" t="s">
        <v>69</v>
      </c>
      <c r="B10" s="36"/>
      <c r="C10" s="9">
        <f>SUM(C4:C8)</f>
        <v>440</v>
      </c>
    </row>
  </sheetData>
  <mergeCells count="4">
    <mergeCell ref="A1:C1"/>
    <mergeCell ref="A2:C2"/>
    <mergeCell ref="A9:C9"/>
    <mergeCell ref="A10:B10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Punkte-Definition</vt:lpstr>
      <vt:lpstr>Jahres-Planung</vt:lpstr>
      <vt:lpstr>Belohnungen</vt:lpstr>
      <vt:lpstr>Punktebeispiel</vt:lpstr>
      <vt:lpstr>Belohnungen!Druckbereich</vt:lpstr>
      <vt:lpstr>'Jahres-Planung'!Druckbereich</vt:lpstr>
      <vt:lpstr>Punktebeispiel!Druckbereich</vt:lpstr>
      <vt:lpstr>'Punkte-Definition'!Druckbereich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Punktesystem Rechner</dc:title>
  <dc:creator>vanessa.alves@ost.ch;marco.schnider@ost.ch</dc:creator>
  <dc:description>Rechner als Hilfsmittel für die Erstellung eines Vereins-Punktesystems.
Projekt: https://gitlab.ost.ch/saba-discord_bot/discord-bot</dc:description>
  <cp:lastModifiedBy>Vanessa Alves</cp:lastModifiedBy>
  <cp:lastPrinted>2025-05-27T06:58:12Z</cp:lastPrinted>
  <dcterms:created xsi:type="dcterms:W3CDTF">2025-05-25T12:54:50Z</dcterms:created>
  <dcterms:modified xsi:type="dcterms:W3CDTF">2025-05-27T08:23:12Z</dcterms:modified>
</cp:coreProperties>
</file>